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ant Holdings" sheetId="2" state="visible" r:id="rId2"/>
    <sheet xmlns:r="http://schemas.openxmlformats.org/officeDocument/2006/relationships" name="Kant Mutual Funds" sheetId="3" state="visible" r:id="rId3"/>
    <sheet xmlns:r="http://schemas.openxmlformats.org/officeDocument/2006/relationships" name="Allocation Analysis" sheetId="4" state="visible" r:id="rId4"/>
    <sheet xmlns:r="http://schemas.openxmlformats.org/officeDocument/2006/relationships" name="Reconcili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1E40AF"/>
      <sz val="14"/>
    </font>
    <font>
      <color rgb="00888888"/>
      <sz val="9"/>
    </font>
    <font>
      <b val="1"/>
      <color rgb="00FFFFFF"/>
      <sz val="10"/>
    </font>
    <font>
      <b val="1"/>
      <color rgb="00CC0000"/>
    </font>
    <font>
      <color rgb="00FF6600"/>
    </font>
    <font>
      <color rgb="00CC8800"/>
    </font>
    <font>
      <b val="1"/>
    </font>
    <font>
      <b val="1"/>
      <color rgb="001E40AF"/>
      <sz val="12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C6EFCE"/>
      </patternFill>
    </fill>
    <fill>
      <patternFill patternType="solid">
        <fgColor rgb="00FFCCCC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0" borderId="1" pivotButton="0" quotePrefix="0" xfId="0"/>
    <xf numFmtId="10" fontId="0" fillId="3" borderId="1" pivotButton="0" quotePrefix="0" xfId="0"/>
    <xf numFmtId="10" fontId="0" fillId="4" borderId="1" pivotButton="0" quotePrefix="0" xfId="0"/>
    <xf numFmtId="0" fontId="7" fillId="0" borderId="0" pivotButton="0" quotePrefix="0" xfId="0"/>
    <xf numFmtId="4" fontId="7" fillId="0" borderId="0" pivotButton="0" quotePrefix="0" xfId="0"/>
    <xf numFmtId="9" fontId="0" fillId="0" borderId="1" pivotButton="0" quotePrefix="0" xfId="0"/>
    <xf numFmtId="165" fontId="0" fillId="0" borderId="1" pivotButton="0" quotePrefix="0" xfId="0"/>
    <xf numFmtId="165" fontId="0" fillId="5" borderId="1" pivotButton="0" quotePrefix="0" xfId="0"/>
    <xf numFmtId="165" fontId="0" fillId="4" borderId="1" pivotButton="0" quotePrefix="0" xfId="0"/>
    <xf numFmtId="165" fontId="0" fillId="3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'Allocation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'Allocation Analysis'!$A$2:$A$5</f>
            </numRef>
          </cat>
          <val>
            <numRef>
              <f>'Allocation Analysis'!$B$2:$B$5</f>
            </numRef>
          </val>
        </ser>
        <ser>
          <idx val="1"/>
          <order val="1"/>
          <tx>
            <strRef>
              <f>'Allocation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'Allocation Analysis'!$A$2:$A$5</f>
            </numRef>
          </cat>
          <val>
            <numRef>
              <f>'Allocation Analysis'!$C$2:$C$5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ลงทุนดี — Portfolio Summary</t>
        </is>
      </c>
    </row>
    <row r="2">
      <c r="A2" s="2" t="inlineStr">
        <is>
          <t>Generated: 2026-05-17 17:46</t>
        </is>
      </c>
    </row>
    <row r="4">
      <c r="A4" s="3" t="inlineStr">
        <is>
          <t>Portfolio</t>
        </is>
      </c>
      <c r="B4" s="3" t="inlineStr">
        <is>
          <t>Value (THB)</t>
        </is>
      </c>
      <c r="C4" s="3" t="inlineStr">
        <is>
          <t>Cost (THB)</t>
        </is>
      </c>
      <c r="D4" s="3" t="inlineStr">
        <is>
          <t>Return%</t>
        </is>
      </c>
    </row>
    <row r="5">
      <c r="A5" s="4" t="inlineStr">
        <is>
          <t>Kant — หุ้นตรง</t>
        </is>
      </c>
      <c r="B5" s="5" t="n">
        <v>72724</v>
      </c>
      <c r="C5" s="5" t="n">
        <v>73928.10000000001</v>
      </c>
      <c r="D5" s="6">
        <f>(B5-C5)/C5</f>
        <v/>
      </c>
    </row>
    <row r="6">
      <c r="A6" s="4" t="inlineStr">
        <is>
          <t>Kant — กองทุนรวม</t>
        </is>
      </c>
      <c r="B6" s="5" t="n">
        <v>104143.76</v>
      </c>
      <c r="C6" s="5" t="n">
        <v>99600.03999999999</v>
      </c>
      <c r="D6" s="6">
        <f>(B6-C6)/C6</f>
        <v/>
      </c>
    </row>
    <row r="7">
      <c r="A7" s="4" t="inlineStr">
        <is>
          <t>Kant — รวม</t>
        </is>
      </c>
      <c r="B7" s="5" t="n">
        <v>176867.76</v>
      </c>
      <c r="C7" s="5" t="n">
        <v>173528.14</v>
      </c>
      <c r="D7" s="6">
        <f>(B7-C7)/C7</f>
        <v/>
      </c>
    </row>
    <row r="8">
      <c r="A8" s="4" t="inlineStr">
        <is>
          <t>Me-Tang</t>
        </is>
      </c>
      <c r="B8" s="5" t="n">
        <v>20000</v>
      </c>
      <c r="C8" s="5" t="n">
        <v>20000</v>
      </c>
      <c r="D8" s="6">
        <f>(B8-C8)/C8</f>
        <v/>
      </c>
    </row>
    <row r="10">
      <c r="A10" s="7" t="inlineStr">
        <is>
          <t>Alerts</t>
        </is>
      </c>
    </row>
    <row r="11">
      <c r="A11" s="8" t="inlineStr">
        <is>
          <t>🟠 STOP LOSS NEAR: KT-INDIA-D: -19.0% (SL: -20%)</t>
        </is>
      </c>
    </row>
    <row r="12">
      <c r="A12" s="8" t="inlineStr">
        <is>
          <t>🟠 CONCENTRATION BREACH: UCHINA: 24.0% &gt; 15.0% cap</t>
        </is>
      </c>
    </row>
    <row r="13">
      <c r="A13" s="9" t="inlineStr">
        <is>
          <t>🟡 ALLOCATION DRIFT: Core Growth: Underweight 14.9%</t>
        </is>
      </c>
    </row>
    <row r="14">
      <c r="A14" s="9" t="inlineStr">
        <is>
          <t>🟡 ALLOCATION DRIFT: Thematic: Overweight 12.3%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  <col width="10" customWidth="1" min="6" max="6"/>
    <col width="12" customWidth="1" min="7" max="7"/>
  </cols>
  <sheetData>
    <row r="1">
      <c r="A1" s="3" t="inlineStr">
        <is>
          <t>Ticker</t>
        </is>
      </c>
      <c r="B1" s="3" t="inlineStr">
        <is>
          <t>Avg Price</t>
        </is>
      </c>
      <c r="C1" s="3" t="inlineStr">
        <is>
          <t>Current</t>
        </is>
      </c>
      <c r="D1" s="3" t="inlineStr">
        <is>
          <t>Shares</t>
        </is>
      </c>
      <c r="E1" s="3" t="inlineStr">
        <is>
          <t>Value (THB)</t>
        </is>
      </c>
      <c r="F1" s="3" t="inlineStr">
        <is>
          <t>P&amp;L%</t>
        </is>
      </c>
      <c r="G1" s="3" t="inlineStr">
        <is>
          <t>Stop-Loss</t>
        </is>
      </c>
    </row>
    <row r="2">
      <c r="A2" s="4" t="inlineStr">
        <is>
          <t>SCB</t>
        </is>
      </c>
      <c r="B2" s="5" t="n">
        <v>129.25</v>
      </c>
      <c r="C2" s="5" t="n">
        <v>133</v>
      </c>
      <c r="D2" s="10" t="n">
        <v>20</v>
      </c>
      <c r="E2" s="5" t="n">
        <v>2660</v>
      </c>
      <c r="F2" s="11">
        <f>(C2-B2)/B2</f>
        <v/>
      </c>
      <c r="G2" s="4" t="inlineStr">
        <is>
          <t>-20%</t>
        </is>
      </c>
    </row>
    <row r="3">
      <c r="A3" s="4" t="inlineStr">
        <is>
          <t>LAND</t>
        </is>
      </c>
      <c r="B3" s="5" t="n">
        <v>11.0435</v>
      </c>
      <c r="C3" s="5" t="n">
        <v>9.4</v>
      </c>
      <c r="D3" s="10" t="n">
        <v>2844.6386</v>
      </c>
      <c r="E3" s="5" t="n">
        <v>26739.6</v>
      </c>
      <c r="F3" s="12">
        <f>(C3-B3)/B3</f>
        <v/>
      </c>
      <c r="G3" s="4" t="inlineStr">
        <is>
          <t>-25%</t>
        </is>
      </c>
    </row>
    <row r="4">
      <c r="A4" s="4" t="inlineStr">
        <is>
          <t>VOO</t>
        </is>
      </c>
      <c r="B4" s="5" t="n">
        <v>600.95</v>
      </c>
      <c r="C4" s="5" t="n">
        <v>679.4400000000001</v>
      </c>
      <c r="D4" s="10" t="n">
        <v>34.1164</v>
      </c>
      <c r="E4" s="5" t="n">
        <v>23180.04</v>
      </c>
      <c r="F4" s="11">
        <f>(C4-B4)/B4</f>
        <v/>
      </c>
      <c r="G4" s="4" t="inlineStr">
        <is>
          <t>-20%</t>
        </is>
      </c>
    </row>
    <row r="5">
      <c r="A5" s="4" t="inlineStr">
        <is>
          <t>JEPQ</t>
        </is>
      </c>
      <c r="B5" s="5" t="n">
        <v>56.38</v>
      </c>
      <c r="C5" s="5" t="n">
        <v>59.77</v>
      </c>
      <c r="D5" s="10" t="n">
        <v>144.7765</v>
      </c>
      <c r="E5" s="5" t="n">
        <v>8653.290000000001</v>
      </c>
      <c r="F5" s="11">
        <f>(C5-B5)/B5</f>
        <v/>
      </c>
      <c r="G5" s="4" t="inlineStr">
        <is>
          <t>-20%</t>
        </is>
      </c>
    </row>
    <row r="6">
      <c r="A6" s="4" t="inlineStr">
        <is>
          <t>CTVA</t>
        </is>
      </c>
      <c r="B6" s="5" t="n">
        <v>78.08069999999999</v>
      </c>
      <c r="C6" s="5" t="n">
        <v>82.20999999999999</v>
      </c>
      <c r="D6" s="10" t="n">
        <v>75.2055</v>
      </c>
      <c r="E6" s="5" t="n">
        <v>6182.65</v>
      </c>
      <c r="F6" s="11">
        <f>(C6-B6)/B6</f>
        <v/>
      </c>
      <c r="G6" s="4" t="inlineStr">
        <is>
          <t>-20%</t>
        </is>
      </c>
    </row>
    <row r="7">
      <c r="A7" s="4" t="inlineStr">
        <is>
          <t>SIVR</t>
        </is>
      </c>
      <c r="B7" s="5" t="n">
        <v>82.07510000000001</v>
      </c>
      <c r="C7" s="5" t="n">
        <v>72.54000000000001</v>
      </c>
      <c r="D7" s="10" t="n">
        <v>42.9432</v>
      </c>
      <c r="E7" s="5" t="n">
        <v>3115.1</v>
      </c>
      <c r="F7" s="12">
        <f>(C7-B7)/B7</f>
        <v/>
      </c>
      <c r="G7" s="4" t="inlineStr">
        <is>
          <t>-20%</t>
        </is>
      </c>
    </row>
    <row r="8">
      <c r="A8" s="4" t="inlineStr">
        <is>
          <t>SCHD</t>
        </is>
      </c>
      <c r="B8" s="5" t="n">
        <v>26.9996</v>
      </c>
      <c r="C8" s="5" t="n">
        <v>31.72</v>
      </c>
      <c r="D8" s="10" t="n">
        <v>69.1464</v>
      </c>
      <c r="E8" s="5" t="n">
        <v>2193.32</v>
      </c>
      <c r="F8" s="11">
        <f>(C8-B8)/B8</f>
        <v/>
      </c>
      <c r="G8" s="4" t="inlineStr">
        <is>
          <t>-20%</t>
        </is>
      </c>
    </row>
    <row r="9">
      <c r="A9" s="13" t="inlineStr">
        <is>
          <t>TOTAL</t>
        </is>
      </c>
      <c r="E9" s="14">
        <f>SUM(E2:E8)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3" t="inlineStr">
        <is>
          <t>Fund</t>
        </is>
      </c>
      <c r="B1" s="3" t="inlineStr">
        <is>
          <t>Units</t>
        </is>
      </c>
      <c r="C1" s="3" t="inlineStr">
        <is>
          <t>Avg NAV</t>
        </is>
      </c>
      <c r="D1" s="3" t="inlineStr">
        <is>
          <t>Current NAV</t>
        </is>
      </c>
      <c r="E1" s="3" t="inlineStr">
        <is>
          <t>Value (THB)</t>
        </is>
      </c>
      <c r="F1" s="3" t="inlineStr">
        <is>
          <t>P&amp;L%</t>
        </is>
      </c>
      <c r="G1" s="3" t="inlineStr">
        <is>
          <t>Stop-Loss</t>
        </is>
      </c>
    </row>
    <row r="2">
      <c r="A2" s="4" t="inlineStr">
        <is>
          <t>UCHINA</t>
        </is>
      </c>
      <c r="B2" s="10" t="n">
        <v>5397.6264</v>
      </c>
      <c r="C2" s="10" t="n">
        <v>8.337</v>
      </c>
      <c r="D2" s="10" t="n">
        <v>7.8751</v>
      </c>
      <c r="E2" s="5" t="n">
        <v>42506.85</v>
      </c>
      <c r="F2" s="12">
        <f>(D2-C2)/C2</f>
        <v/>
      </c>
      <c r="G2" s="4" t="inlineStr">
        <is>
          <t>-20%</t>
        </is>
      </c>
    </row>
    <row r="3">
      <c r="A3" s="4" t="inlineStr">
        <is>
          <t>UOBSJSM</t>
        </is>
      </c>
      <c r="B3" s="10" t="n">
        <v>301.4654</v>
      </c>
      <c r="C3" s="10" t="n">
        <v>33.1713</v>
      </c>
      <c r="D3" s="10" t="n">
        <v>34.4691</v>
      </c>
      <c r="E3" s="5" t="n">
        <v>10391.24</v>
      </c>
      <c r="F3" s="11">
        <f>(D3-C3)/C3</f>
        <v/>
      </c>
      <c r="G3" s="4" t="inlineStr">
        <is>
          <t>-20%</t>
        </is>
      </c>
    </row>
    <row r="4">
      <c r="A4" s="4" t="inlineStr">
        <is>
          <t>UEMIF-N</t>
        </is>
      </c>
      <c r="B4" s="10" t="n">
        <v>732.8853</v>
      </c>
      <c r="C4" s="10" t="n">
        <v>13.6447</v>
      </c>
      <c r="D4" s="10" t="n">
        <v>13.443</v>
      </c>
      <c r="E4" s="5" t="n">
        <v>9852.18</v>
      </c>
      <c r="F4" s="12">
        <f>(D4-C4)/C4</f>
        <v/>
      </c>
      <c r="G4" s="4" t="inlineStr">
        <is>
          <t>-20%</t>
        </is>
      </c>
    </row>
    <row r="5">
      <c r="A5" s="4" t="inlineStr">
        <is>
          <t>KT-PRECIOUS</t>
        </is>
      </c>
      <c r="B5" s="10" t="n">
        <v>496.4236</v>
      </c>
      <c r="C5" s="10" t="n">
        <v>12.0865</v>
      </c>
      <c r="D5" s="10" t="n">
        <v>16.6589</v>
      </c>
      <c r="E5" s="5" t="n">
        <v>8269.870000000001</v>
      </c>
      <c r="F5" s="11">
        <f>(D5-C5)/C5</f>
        <v/>
      </c>
      <c r="G5" s="4" t="inlineStr">
        <is>
          <t>-15%</t>
        </is>
      </c>
    </row>
    <row r="6">
      <c r="A6" s="4" t="inlineStr">
        <is>
          <t>KT-MINING</t>
        </is>
      </c>
      <c r="B6" s="10" t="n">
        <v>544.4428</v>
      </c>
      <c r="C6" s="10" t="n">
        <v>9.1837</v>
      </c>
      <c r="D6" s="10" t="n">
        <v>12.7235</v>
      </c>
      <c r="E6" s="5" t="n">
        <v>6927.22</v>
      </c>
      <c r="F6" s="11">
        <f>(D6-C6)/C6</f>
        <v/>
      </c>
      <c r="G6" s="4" t="inlineStr">
        <is>
          <t>-15%</t>
        </is>
      </c>
    </row>
    <row r="7">
      <c r="A7" s="4" t="inlineStr">
        <is>
          <t>DAOL-RARE</t>
        </is>
      </c>
      <c r="B7" s="10" t="n">
        <v>445.3192</v>
      </c>
      <c r="C7" s="10" t="n">
        <v>11.2279</v>
      </c>
      <c r="D7" s="10" t="n">
        <v>15.2166</v>
      </c>
      <c r="E7" s="5" t="n">
        <v>6776.24</v>
      </c>
      <c r="F7" s="11">
        <f>(D7-C7)/C7</f>
        <v/>
      </c>
      <c r="G7" s="4" t="inlineStr">
        <is>
          <t>-20%</t>
        </is>
      </c>
    </row>
    <row r="8">
      <c r="A8" s="4" t="inlineStr">
        <is>
          <t>ES-GTECH</t>
        </is>
      </c>
      <c r="B8" s="10" t="n">
        <v>151.705</v>
      </c>
      <c r="C8" s="10" t="n">
        <v>32.9587</v>
      </c>
      <c r="D8" s="10" t="n">
        <v>38.003</v>
      </c>
      <c r="E8" s="5" t="n">
        <v>5765.25</v>
      </c>
      <c r="F8" s="11">
        <f>(D8-C8)/C8</f>
        <v/>
      </c>
      <c r="G8" s="4" t="inlineStr">
        <is>
          <t>-20%</t>
        </is>
      </c>
    </row>
    <row r="9">
      <c r="A9" s="4" t="inlineStr">
        <is>
          <t>X-NUCTECH</t>
        </is>
      </c>
      <c r="B9" s="10" t="n">
        <v>361.729</v>
      </c>
      <c r="C9" s="10" t="n">
        <v>13.8225</v>
      </c>
      <c r="D9" s="10" t="n">
        <v>12.3463</v>
      </c>
      <c r="E9" s="5" t="n">
        <v>4466.01</v>
      </c>
      <c r="F9" s="12">
        <f>(D9-C9)/C9</f>
        <v/>
      </c>
      <c r="G9" s="4" t="inlineStr">
        <is>
          <t>-20%</t>
        </is>
      </c>
    </row>
    <row r="10">
      <c r="A10" s="4" t="inlineStr">
        <is>
          <t>K-AGRI</t>
        </is>
      </c>
      <c r="B10" s="10" t="n">
        <v>562.9322</v>
      </c>
      <c r="C10" s="10" t="n">
        <v>6.3951</v>
      </c>
      <c r="D10" s="10" t="n">
        <v>6.6705</v>
      </c>
      <c r="E10" s="5" t="n">
        <v>3755.04</v>
      </c>
      <c r="F10" s="11">
        <f>(D10-C10)/C10</f>
        <v/>
      </c>
      <c r="G10" s="4" t="inlineStr">
        <is>
          <t>-15%</t>
        </is>
      </c>
    </row>
    <row r="11">
      <c r="A11" s="4" t="inlineStr">
        <is>
          <t>KKP NDQ100-UH-E</t>
        </is>
      </c>
      <c r="B11" s="10" t="n">
        <v>137.0202</v>
      </c>
      <c r="C11" s="10" t="n">
        <v>14.5964</v>
      </c>
      <c r="D11" s="10" t="n">
        <v>17.415</v>
      </c>
      <c r="E11" s="5" t="n">
        <v>2386.21</v>
      </c>
      <c r="F11" s="11">
        <f>(D11-C11)/C11</f>
        <v/>
      </c>
      <c r="G11" s="4" t="inlineStr">
        <is>
          <t>-20%</t>
        </is>
      </c>
    </row>
    <row r="12">
      <c r="A12" s="4" t="inlineStr">
        <is>
          <t>KKP US500-UH-E</t>
        </is>
      </c>
      <c r="B12" s="10" t="n">
        <v>172.0841</v>
      </c>
      <c r="C12" s="10" t="n">
        <v>11.6222</v>
      </c>
      <c r="D12" s="10" t="n">
        <v>13.0047</v>
      </c>
      <c r="E12" s="5" t="n">
        <v>2237.9</v>
      </c>
      <c r="F12" s="11">
        <f>(D12-C12)/C12</f>
        <v/>
      </c>
      <c r="G12" s="4" t="inlineStr">
        <is>
          <t>-20%</t>
        </is>
      </c>
    </row>
    <row r="13">
      <c r="A13" s="4" t="inlineStr">
        <is>
          <t>KT-INDIA-D</t>
        </is>
      </c>
      <c r="B13" s="10" t="n">
        <v>71.1738</v>
      </c>
      <c r="C13" s="10" t="n">
        <v>14.0501</v>
      </c>
      <c r="D13" s="10" t="n">
        <v>11.3771</v>
      </c>
      <c r="E13" s="5" t="n">
        <v>809.75</v>
      </c>
      <c r="F13" s="12">
        <f>(D13-C13)/C13</f>
        <v/>
      </c>
      <c r="G13" s="4" t="inlineStr">
        <is>
          <t>-20%</t>
        </is>
      </c>
    </row>
    <row r="14">
      <c r="A14" s="13" t="inlineStr">
        <is>
          <t>TOTAL</t>
        </is>
      </c>
      <c r="E14" s="14">
        <f>SUM(E2:E13)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กลุ่ม</t>
        </is>
      </c>
      <c r="B1" s="3" t="inlineStr">
        <is>
          <t>Target%</t>
        </is>
      </c>
      <c r="C1" s="3" t="inlineStr">
        <is>
          <t>Actual%</t>
        </is>
      </c>
      <c r="D1" s="3" t="inlineStr">
        <is>
          <t>Variance%</t>
        </is>
      </c>
    </row>
    <row r="2">
      <c r="A2" s="4" t="inlineStr">
        <is>
          <t>Core Growth</t>
        </is>
      </c>
      <c r="B2" s="15" t="n">
        <v>0.4</v>
      </c>
      <c r="C2" s="16" t="n">
        <v>0.251</v>
      </c>
      <c r="D2" s="17">
        <f>C2-B2</f>
        <v/>
      </c>
    </row>
    <row r="3">
      <c r="A3" s="4" t="inlineStr">
        <is>
          <t>Thematic</t>
        </is>
      </c>
      <c r="B3" s="15" t="n">
        <v>0.3</v>
      </c>
      <c r="C3" s="16" t="n">
        <v>0.423</v>
      </c>
      <c r="D3" s="18">
        <f>C3-B3</f>
        <v/>
      </c>
    </row>
    <row r="4">
      <c r="A4" s="4" t="inlineStr">
        <is>
          <t>Commodities</t>
        </is>
      </c>
      <c r="B4" s="15" t="n">
        <v>0.15</v>
      </c>
      <c r="C4" s="16" t="n">
        <v>0.16</v>
      </c>
      <c r="D4" s="19">
        <f>C4-B4</f>
        <v/>
      </c>
    </row>
    <row r="5">
      <c r="A5" s="4" t="inlineStr">
        <is>
          <t>หุ้นตรงไทย</t>
        </is>
      </c>
      <c r="B5" s="15" t="n">
        <v>0.15</v>
      </c>
      <c r="C5" s="16" t="n">
        <v>0.166</v>
      </c>
      <c r="D5" s="19">
        <f>C5-B5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20" t="inlineStr">
        <is>
          <t>Reconciliation Check</t>
        </is>
      </c>
    </row>
    <row r="3">
      <c r="A3" s="3" t="inlineStr">
        <is>
          <t>Item</t>
        </is>
      </c>
      <c r="B3" s="3" t="inlineStr">
        <is>
          <t>Value (THB)</t>
        </is>
      </c>
    </row>
    <row r="4">
      <c r="A4" s="4" t="inlineStr">
        <is>
          <t>Kant Holdings (stocks)</t>
        </is>
      </c>
      <c r="B4" s="5" t="n">
        <v>72724</v>
      </c>
    </row>
    <row r="5">
      <c r="A5" s="4" t="inlineStr">
        <is>
          <t>Kant Mutual Funds</t>
        </is>
      </c>
      <c r="B5" s="5" t="n">
        <v>104143.76</v>
      </c>
    </row>
    <row r="6">
      <c r="A6" s="4" t="inlineStr">
        <is>
          <t>Kant Total</t>
        </is>
      </c>
      <c r="B6" s="5" t="n">
        <v>176867.76</v>
      </c>
    </row>
    <row r="7">
      <c r="A7" s="4" t="inlineStr">
        <is>
          <t>Me-Tang Total</t>
        </is>
      </c>
      <c r="B7" s="5" t="n">
        <v>20000</v>
      </c>
    </row>
    <row r="8">
      <c r="A8" s="4" t="inlineStr">
        <is>
          <t>Grand Total</t>
        </is>
      </c>
      <c r="B8" s="5" t="n">
        <v>196867.76</v>
      </c>
    </row>
    <row r="10">
      <c r="A10" t="inlineStr">
        <is>
          <t>Cross-check (Stocks+Funds=Total?)</t>
        </is>
      </c>
      <c r="B10" s="13">
        <f>IF(ABS(B4+B5-B6)&lt;1,"OK","MISMATCH")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2026-05-17T10:46:22Z</dcterms:created>
  <dcterms:modified xmlns:dcterms="http://purl.org/dc/terms/" xmlns:xsi="http://www.w3.org/2001/XMLSchema-instance" xsi:type="dcterms:W3CDTF">2026-05-17T10:46:22Z</dcterms:modified>
</cp:coreProperties>
</file>